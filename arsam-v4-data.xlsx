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YLIK NAKIT AKISI" sheetId="2" state="visible" r:id="rId2"/>
    <sheet name="YILLIK PROJEKSIYON" sheetId="3" state="visible" r:id="rId3"/>
    <sheet name="TAM SAM SOM" sheetId="4" state="visible" r:id="rId4"/>
    <sheet name="YATIRIM DAGILIMI" sheetId="5" state="visible" r:id="rId5"/>
    <sheet name="KADRO" sheetId="6" state="visible" r:id="rId6"/>
    <sheet name="CHURN &amp; BENCHMA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11"/>
    </font>
    <font>
      <name val="Arial"/>
      <b val="1"/>
      <color rgb="00FFFFFF"/>
      <sz val="11"/>
    </font>
    <font>
      <name val="Arial"/>
      <b val="1"/>
      <sz val="11"/>
    </font>
    <font>
      <color rgb="000000FF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3" fontId="5" fillId="0" borderId="0" pivotButton="0" quotePrefix="0" xfId="0"/>
    <xf numFmtId="0" fontId="4" fillId="0" borderId="1" pivotButton="0" quotePrefix="0" xfId="0"/>
    <xf numFmtId="3" fontId="5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3" fontId="0" fillId="0" borderId="0" pivotButton="0" quotePrefix="0" xfId="0"/>
    <xf numFmtId="3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9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21" customWidth="1" min="3" max="3"/>
    <col width="4" customWidth="1" min="4" max="4"/>
    <col width="4" customWidth="1" min="5" max="5"/>
  </cols>
  <sheetData>
    <row r="1">
      <c r="A1" s="1" t="inlineStr">
        <is>
          <t>ARSAM.NET - FINANSAL DASHBOARD</t>
        </is>
      </c>
    </row>
    <row r="2">
      <c r="A2" s="2" t="inlineStr">
        <is>
          <t>18 Aylik Projeksiyon | Tem 2026 - Ara 2027 | Muhafazakar Senaryo</t>
        </is>
      </c>
    </row>
    <row r="3"/>
    <row r="4">
      <c r="A4" s="3" t="inlineStr">
        <is>
          <t>Metrik</t>
        </is>
      </c>
      <c r="B4" s="3" t="inlineStr">
        <is>
          <t>Deger</t>
        </is>
      </c>
      <c r="C4" s="3" t="inlineStr">
        <is>
          <t>Not</t>
        </is>
      </c>
    </row>
    <row r="5">
      <c r="A5" s="4" t="inlineStr">
        <is>
          <t>TOPLAM YATIRIM</t>
        </is>
      </c>
      <c r="B5" s="5" t="n">
        <v>40000000</v>
      </c>
      <c r="C5" s="2" t="inlineStr">
        <is>
          <t>Baslangic Sermaye</t>
        </is>
      </c>
    </row>
    <row r="6">
      <c r="A6" s="4" t="inlineStr">
        <is>
          <t>18 AY TOPLAM GELIR</t>
        </is>
      </c>
      <c r="B6" s="5" t="n">
        <v>298000000</v>
      </c>
      <c r="C6" s="2" t="inlineStr">
        <is>
          <t>Kumulatif</t>
        </is>
      </c>
    </row>
    <row r="7">
      <c r="A7" s="4" t="inlineStr">
        <is>
          <t>18 AY TOPLAM GIDER</t>
        </is>
      </c>
      <c r="B7" s="5" t="n">
        <v>49000000</v>
      </c>
      <c r="C7" s="2" t="inlineStr">
        <is>
          <t>Kumulatif</t>
        </is>
      </c>
    </row>
    <row r="8">
      <c r="A8" s="4" t="inlineStr">
        <is>
          <t>NET KAR (VERGI ONCESI)</t>
        </is>
      </c>
      <c r="B8" s="5" t="n">
        <v>249000000</v>
      </c>
      <c r="C8" s="2" t="inlineStr">
        <is>
          <t>18 Ay Net Sonuc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29" customWidth="1" min="5" max="5"/>
  </cols>
  <sheetData>
    <row r="1">
      <c r="A1" s="3" t="inlineStr">
        <is>
          <t>Ay</t>
        </is>
      </c>
      <c r="B1" s="3" t="inlineStr">
        <is>
          <t>Gelir</t>
        </is>
      </c>
      <c r="C1" s="3" t="inlineStr">
        <is>
          <t>Gider</t>
        </is>
      </c>
      <c r="D1" s="3" t="inlineStr">
        <is>
          <t>Net</t>
        </is>
      </c>
      <c r="E1" s="3" t="inlineStr">
        <is>
          <t>Olay</t>
        </is>
      </c>
    </row>
    <row r="2">
      <c r="A2" s="6" t="inlineStr">
        <is>
          <t>Tem 26</t>
        </is>
      </c>
      <c r="B2" s="7" t="n">
        <v>600000</v>
      </c>
      <c r="C2" s="7" t="n">
        <v>4200000</v>
      </c>
      <c r="D2" s="8">
        <f>B2-C2</f>
        <v/>
      </c>
      <c r="E2" s="9" t="inlineStr">
        <is>
          <t>Platform Lansmani + CAPEX</t>
        </is>
      </c>
    </row>
    <row r="3">
      <c r="A3" s="4" t="inlineStr">
        <is>
          <t>Agu 26</t>
        </is>
      </c>
      <c r="B3" s="5" t="n">
        <v>930000</v>
      </c>
      <c r="C3" s="5" t="n">
        <v>1700000</v>
      </c>
      <c r="D3" s="10">
        <f>B3-C3</f>
        <v/>
      </c>
      <c r="E3" t="inlineStr">
        <is>
          <t>Ilk gelir</t>
        </is>
      </c>
    </row>
    <row r="4">
      <c r="A4" s="6" t="inlineStr">
        <is>
          <t>Eyl 26</t>
        </is>
      </c>
      <c r="B4" s="7" t="n">
        <v>1440000</v>
      </c>
      <c r="C4" s="7" t="n">
        <v>1800000</v>
      </c>
      <c r="D4" s="8">
        <f>B4-C4</f>
        <v/>
      </c>
      <c r="E4" s="9" t="inlineStr"/>
    </row>
    <row r="5">
      <c r="A5" s="4" t="inlineStr">
        <is>
          <t>Eki 26</t>
        </is>
      </c>
      <c r="B5" s="5" t="n">
        <v>2200000</v>
      </c>
      <c r="C5" s="5" t="n">
        <v>1900000</v>
      </c>
      <c r="D5" s="10">
        <f>B5-C5</f>
        <v/>
      </c>
      <c r="E5" t="inlineStr">
        <is>
          <t>1. BASABAS (Operasyonel)</t>
        </is>
      </c>
    </row>
    <row r="6">
      <c r="A6" s="6" t="inlineStr">
        <is>
          <t>Kas 26</t>
        </is>
      </c>
      <c r="B6" s="7" t="n">
        <v>3340000</v>
      </c>
      <c r="C6" s="7" t="n">
        <v>2000000</v>
      </c>
      <c r="D6" s="8">
        <f>B6-C6</f>
        <v/>
      </c>
      <c r="E6" s="9" t="inlineStr"/>
    </row>
    <row r="7">
      <c r="A7" s="4" t="inlineStr">
        <is>
          <t>Ara 26</t>
        </is>
      </c>
      <c r="B7" s="5" t="n">
        <v>4960000</v>
      </c>
      <c r="C7" s="5" t="n">
        <v>2100000</v>
      </c>
      <c r="D7" s="10">
        <f>B7-C7</f>
        <v/>
      </c>
      <c r="E7" t="inlineStr">
        <is>
          <t>Yil sonu</t>
        </is>
      </c>
    </row>
    <row r="8">
      <c r="A8" s="6" t="inlineStr">
        <is>
          <t>Oca 27</t>
        </is>
      </c>
      <c r="B8" s="7" t="n">
        <v>7200000</v>
      </c>
      <c r="C8" s="7" t="n">
        <v>2400000</v>
      </c>
      <c r="D8" s="8">
        <f>B8-C8</f>
        <v/>
      </c>
      <c r="E8" s="9" t="inlineStr">
        <is>
          <t>B2B Lansman</t>
        </is>
      </c>
    </row>
    <row r="9">
      <c r="A9" s="4" t="inlineStr">
        <is>
          <t>Sub 27</t>
        </is>
      </c>
      <c r="B9" s="5" t="n">
        <v>10110000</v>
      </c>
      <c r="C9" s="5" t="n">
        <v>2600000</v>
      </c>
      <c r="D9" s="10">
        <f>B9-C9</f>
        <v/>
      </c>
      <c r="E9" t="inlineStr"/>
    </row>
    <row r="10">
      <c r="A10" s="6" t="inlineStr">
        <is>
          <t>Mar 27</t>
        </is>
      </c>
      <c r="B10" s="7" t="n">
        <v>13610000</v>
      </c>
      <c r="C10" s="7" t="n">
        <v>2800000</v>
      </c>
      <c r="D10" s="8">
        <f>B10-C10</f>
        <v/>
      </c>
      <c r="E10" s="9" t="inlineStr"/>
    </row>
    <row r="11">
      <c r="A11" s="4" t="inlineStr">
        <is>
          <t>Nis 27</t>
        </is>
      </c>
      <c r="B11" s="5" t="n">
        <v>17500000</v>
      </c>
      <c r="C11" s="5" t="n">
        <v>2900000</v>
      </c>
      <c r="D11" s="10">
        <f>B11-C11</f>
        <v/>
      </c>
      <c r="E11" t="inlineStr"/>
    </row>
    <row r="12">
      <c r="A12" s="6" t="inlineStr">
        <is>
          <t>May 27</t>
        </is>
      </c>
      <c r="B12" s="7" t="n">
        <v>21370000</v>
      </c>
      <c r="C12" s="7" t="n">
        <v>3000000</v>
      </c>
      <c r="D12" s="8">
        <f>B12-C12</f>
        <v/>
      </c>
      <c r="E12" s="9" t="inlineStr">
        <is>
          <t>25.000 Aktif Ilan</t>
        </is>
      </c>
    </row>
    <row r="13">
      <c r="A13" s="4" t="inlineStr">
        <is>
          <t>Haz 27</t>
        </is>
      </c>
      <c r="B13" s="5" t="n">
        <v>24860000</v>
      </c>
      <c r="C13" s="5" t="n">
        <v>3100000</v>
      </c>
      <c r="D13" s="10">
        <f>B13-C13</f>
        <v/>
      </c>
      <c r="E13" t="inlineStr"/>
    </row>
    <row r="14">
      <c r="A14" s="6" t="inlineStr">
        <is>
          <t>Tem 27</t>
        </is>
      </c>
      <c r="B14" s="7" t="n">
        <v>27790000</v>
      </c>
      <c r="C14" s="7" t="n">
        <v>3200000</v>
      </c>
      <c r="D14" s="8">
        <f>B14-C14</f>
        <v/>
      </c>
      <c r="E14" s="9" t="inlineStr"/>
    </row>
    <row r="15">
      <c r="A15" s="4" t="inlineStr">
        <is>
          <t>Agu 27</t>
        </is>
      </c>
      <c r="B15" s="5" t="n">
        <v>30030000</v>
      </c>
      <c r="C15" s="5" t="n">
        <v>3300000</v>
      </c>
      <c r="D15" s="10">
        <f>B15-C15</f>
        <v/>
      </c>
      <c r="E15" t="inlineStr"/>
    </row>
    <row r="16">
      <c r="A16" s="6" t="inlineStr">
        <is>
          <t>Eyl 27</t>
        </is>
      </c>
      <c r="B16" s="7" t="n">
        <v>31660000</v>
      </c>
      <c r="C16" s="7" t="n">
        <v>3400000</v>
      </c>
      <c r="D16" s="8">
        <f>B16-C16</f>
        <v/>
      </c>
      <c r="E16" s="9" t="inlineStr"/>
    </row>
    <row r="17">
      <c r="A17" s="4" t="inlineStr">
        <is>
          <t>Eki 27</t>
        </is>
      </c>
      <c r="B17" s="5" t="n">
        <v>32790000</v>
      </c>
      <c r="C17" s="5" t="n">
        <v>3500000</v>
      </c>
      <c r="D17" s="10">
        <f>B17-C17</f>
        <v/>
      </c>
      <c r="E17" t="inlineStr">
        <is>
          <t>100.000 Ilan Esigi</t>
        </is>
      </c>
    </row>
    <row r="18">
      <c r="A18" s="6" t="inlineStr">
        <is>
          <t>Kas 27</t>
        </is>
      </c>
      <c r="B18" s="7" t="n">
        <v>33540000</v>
      </c>
      <c r="C18" s="7" t="n">
        <v>2600000</v>
      </c>
      <c r="D18" s="8">
        <f>B18-C18</f>
        <v/>
      </c>
      <c r="E18" s="9" t="inlineStr"/>
    </row>
    <row r="19">
      <c r="A19" s="4" t="inlineStr">
        <is>
          <t>Ara 27</t>
        </is>
      </c>
      <c r="B19" s="5" t="n">
        <v>34070000</v>
      </c>
      <c r="C19" s="5" t="n">
        <v>2500000</v>
      </c>
      <c r="D19" s="10">
        <f>B19-C19</f>
        <v/>
      </c>
      <c r="E19" t="inlineStr">
        <is>
          <t>SAM %10+ Pazar Payi</t>
        </is>
      </c>
    </row>
    <row r="20">
      <c r="A20" s="4" t="inlineStr">
        <is>
          <t>TOPLAM</t>
        </is>
      </c>
      <c r="B20" s="11">
        <f>SUM(B2:B19)</f>
        <v/>
      </c>
      <c r="C20" s="11">
        <f>SUM(C2:C19)</f>
        <v/>
      </c>
      <c r="D20" s="11">
        <f>B20-C20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0" customWidth="1" min="5" max="5"/>
    <col width="20" customWidth="1" min="6" max="6"/>
    <col width="9" customWidth="1" min="7" max="7"/>
    <col width="9" customWidth="1" min="8" max="8"/>
    <col width="21" customWidth="1" min="9" max="9"/>
  </cols>
  <sheetData>
    <row r="1">
      <c r="A1" s="3" t="inlineStr">
        <is>
          <t>Yil</t>
        </is>
      </c>
      <c r="B1" s="3" t="inlineStr">
        <is>
          <t>Faz</t>
        </is>
      </c>
      <c r="C1" s="3" t="inlineStr">
        <is>
          <t>Gelir</t>
        </is>
      </c>
      <c r="D1" s="3" t="inlineStr">
        <is>
          <t>Gider</t>
        </is>
      </c>
      <c r="E1" s="3" t="inlineStr">
        <is>
          <t>EBITDA</t>
        </is>
      </c>
      <c r="F1" s="3" t="inlineStr">
        <is>
          <t>Net Kar (VO %25)</t>
        </is>
      </c>
      <c r="G1" s="3" t="inlineStr">
        <is>
          <t>SOM %</t>
        </is>
      </c>
      <c r="H1" s="3" t="inlineStr">
        <is>
          <t>Kadro</t>
        </is>
      </c>
      <c r="I1" s="3" t="inlineStr">
        <is>
          <t>Marj %</t>
        </is>
      </c>
    </row>
    <row r="2">
      <c r="A2" s="4" t="inlineStr">
        <is>
          <t>2026</t>
        </is>
      </c>
      <c r="B2" t="inlineStr">
        <is>
          <t>LANSMAN</t>
        </is>
      </c>
      <c r="C2" s="5" t="n">
        <v>13470000</v>
      </c>
      <c r="D2" s="5" t="n">
        <v>13700000</v>
      </c>
      <c r="E2" s="10">
        <f>C2-D2</f>
        <v/>
      </c>
      <c r="F2" s="10">
        <f>E2*0.75</f>
        <v/>
      </c>
      <c r="G2" s="12" t="n">
        <v>0.008</v>
      </c>
      <c r="H2" t="n">
        <v>19</v>
      </c>
      <c r="I2" s="13">
        <f>IF(C2&gt;0,E2/C2,0)</f>
        <v/>
      </c>
    </row>
    <row r="3">
      <c r="A3" s="4" t="inlineStr">
        <is>
          <t>2027</t>
        </is>
      </c>
      <c r="B3" t="inlineStr">
        <is>
          <t>BUYUME</t>
        </is>
      </c>
      <c r="C3" s="5" t="n">
        <v>284530000</v>
      </c>
      <c r="D3" s="5" t="n">
        <v>35300000</v>
      </c>
      <c r="E3" s="10">
        <f>C3-D3</f>
        <v/>
      </c>
      <c r="F3" s="10">
        <f>E3*0.75</f>
        <v/>
      </c>
      <c r="G3" s="12" t="n">
        <v>0.025</v>
      </c>
      <c r="H3" t="n">
        <v>63</v>
      </c>
      <c r="I3" s="13">
        <f>IF(C3&gt;0,E3/C3,0)</f>
        <v/>
      </c>
    </row>
    <row r="4">
      <c r="A4" s="4" t="inlineStr">
        <is>
          <t>2028</t>
        </is>
      </c>
      <c r="B4" t="inlineStr">
        <is>
          <t>OLCEKLEME</t>
        </is>
      </c>
      <c r="C4" s="5" t="n">
        <v>569000000</v>
      </c>
      <c r="D4" s="5" t="n">
        <v>62000000</v>
      </c>
      <c r="E4" s="10">
        <f>C4-D4</f>
        <v/>
      </c>
      <c r="F4" s="10">
        <f>E4*0.75</f>
        <v/>
      </c>
      <c r="G4" s="12" t="n">
        <v>0.055</v>
      </c>
      <c r="H4" t="n">
        <v>84</v>
      </c>
      <c r="I4" s="13">
        <f>IF(C4&gt;0,E4/C4,0)</f>
        <v/>
      </c>
    </row>
    <row r="5">
      <c r="A5" s="4" t="inlineStr">
        <is>
          <t>2029</t>
        </is>
      </c>
      <c r="B5" t="inlineStr">
        <is>
          <t>OLGUNLASMA</t>
        </is>
      </c>
      <c r="C5" s="5" t="n">
        <v>854000000</v>
      </c>
      <c r="D5" s="5" t="n">
        <v>78000000</v>
      </c>
      <c r="E5" s="10">
        <f>C5-D5</f>
        <v/>
      </c>
      <c r="F5" s="10">
        <f>E5*0.75</f>
        <v/>
      </c>
      <c r="G5" s="12" t="n">
        <v>0.09</v>
      </c>
      <c r="H5" t="n">
        <v>101</v>
      </c>
      <c r="I5" s="13">
        <f>IF(C5&gt;0,E5/C5,0)</f>
        <v/>
      </c>
    </row>
    <row r="6">
      <c r="A6" s="4" t="inlineStr">
        <is>
          <t>2030</t>
        </is>
      </c>
      <c r="B6" t="inlineStr">
        <is>
          <t>HAKIMIYET</t>
        </is>
      </c>
      <c r="C6" s="5" t="n">
        <v>1067000000</v>
      </c>
      <c r="D6" s="5" t="n">
        <v>95000000</v>
      </c>
      <c r="E6" s="10">
        <f>C6-D6</f>
        <v/>
      </c>
      <c r="F6" s="10">
        <f>E6*0.75</f>
        <v/>
      </c>
      <c r="G6" s="12" t="n">
        <v>0.13</v>
      </c>
      <c r="H6" t="n">
        <v>117</v>
      </c>
      <c r="I6" s="13">
        <f>IF(C6&gt;0,E6/C6,0)</f>
        <v/>
      </c>
    </row>
    <row r="7">
      <c r="A7" s="4" t="inlineStr">
        <is>
          <t>2031</t>
        </is>
      </c>
      <c r="B7" t="inlineStr">
        <is>
          <t>KONSOLIDASYON</t>
        </is>
      </c>
      <c r="C7" s="5" t="n">
        <v>1227000000</v>
      </c>
      <c r="D7" s="5" t="n">
        <v>112000000</v>
      </c>
      <c r="E7" s="10">
        <f>C7-D7</f>
        <v/>
      </c>
      <c r="F7" s="10">
        <f>E7*0.75</f>
        <v/>
      </c>
      <c r="G7" s="12" t="n">
        <v>0.16</v>
      </c>
      <c r="H7" t="n">
        <v>133</v>
      </c>
      <c r="I7" s="13">
        <f>IF(C7&gt;0,E7/C7,0)</f>
        <v/>
      </c>
    </row>
    <row r="8">
      <c r="A8" s="4" t="inlineStr">
        <is>
          <t>2032</t>
        </is>
      </c>
      <c r="B8" t="inlineStr">
        <is>
          <t>VIZYON</t>
        </is>
      </c>
      <c r="C8" s="5" t="n">
        <v>1325000000</v>
      </c>
      <c r="D8" s="5" t="n">
        <v>130000000</v>
      </c>
      <c r="E8" s="10">
        <f>C8-D8</f>
        <v/>
      </c>
      <c r="F8" s="10">
        <f>E8*0.75</f>
        <v/>
      </c>
      <c r="G8" s="12" t="n">
        <v>0.18</v>
      </c>
      <c r="H8" t="n">
        <v>149</v>
      </c>
      <c r="I8" s="13">
        <f>IF(C8&gt;0,E8/C8,0)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9" customWidth="1" min="4" max="4"/>
    <col width="13" customWidth="1" min="5" max="5"/>
  </cols>
  <sheetData>
    <row r="1">
      <c r="A1" s="3" t="inlineStr">
        <is>
          <t>Yil</t>
        </is>
      </c>
      <c r="B1" s="3" t="inlineStr">
        <is>
          <t>TAM</t>
        </is>
      </c>
      <c r="C1" s="3" t="inlineStr">
        <is>
          <t>SAM</t>
        </is>
      </c>
      <c r="D1" s="3" t="inlineStr">
        <is>
          <t>SOM %</t>
        </is>
      </c>
      <c r="E1" s="3" t="inlineStr">
        <is>
          <t>SOM Deger</t>
        </is>
      </c>
    </row>
    <row r="2">
      <c r="A2" s="4" t="inlineStr">
        <is>
          <t>2026</t>
        </is>
      </c>
      <c r="B2" s="5" t="n">
        <v>6000000000</v>
      </c>
      <c r="C2" s="5" t="n">
        <v>2430000000</v>
      </c>
      <c r="D2" s="12" t="n">
        <v>0.008</v>
      </c>
      <c r="E2" s="10">
        <f>C2*D2</f>
        <v/>
      </c>
    </row>
    <row r="3">
      <c r="A3" s="4" t="inlineStr">
        <is>
          <t>2027</t>
        </is>
      </c>
      <c r="B3" s="5" t="n">
        <v>6000000000</v>
      </c>
      <c r="C3" s="5" t="n">
        <v>2700000000</v>
      </c>
      <c r="D3" s="12" t="n">
        <v>0.025</v>
      </c>
      <c r="E3" s="10">
        <f>C3*D3</f>
        <v/>
      </c>
    </row>
    <row r="4">
      <c r="A4" s="4" t="inlineStr">
        <is>
          <t>2028</t>
        </is>
      </c>
      <c r="B4" s="5" t="n">
        <v>6000000000</v>
      </c>
      <c r="C4" s="5" t="n">
        <v>3050000000</v>
      </c>
      <c r="D4" s="12" t="n">
        <v>0.055</v>
      </c>
      <c r="E4" s="10">
        <f>C4*D4</f>
        <v/>
      </c>
    </row>
    <row r="5">
      <c r="A5" s="4" t="inlineStr">
        <is>
          <t>2029</t>
        </is>
      </c>
      <c r="B5" s="5" t="n">
        <v>6000000000</v>
      </c>
      <c r="C5" s="5" t="n">
        <v>3450000000</v>
      </c>
      <c r="D5" s="12" t="n">
        <v>0.09</v>
      </c>
      <c r="E5" s="10">
        <f>C5*D5</f>
        <v/>
      </c>
    </row>
    <row r="6">
      <c r="A6" s="4" t="inlineStr">
        <is>
          <t>2030</t>
        </is>
      </c>
      <c r="B6" s="5" t="n">
        <v>6000000000</v>
      </c>
      <c r="C6" s="5" t="n">
        <v>3900000000</v>
      </c>
      <c r="D6" s="12" t="n">
        <v>0.13</v>
      </c>
      <c r="E6" s="10">
        <f>C6*D6</f>
        <v/>
      </c>
    </row>
    <row r="7">
      <c r="A7" s="4" t="inlineStr">
        <is>
          <t>2031</t>
        </is>
      </c>
      <c r="B7" s="5" t="n">
        <v>6000000000</v>
      </c>
      <c r="C7" s="5" t="n">
        <v>4400000000</v>
      </c>
      <c r="D7" s="12" t="n">
        <v>0.16</v>
      </c>
      <c r="E7" s="10">
        <f>C7*D7</f>
        <v/>
      </c>
    </row>
    <row r="8">
      <c r="A8" s="4" t="inlineStr">
        <is>
          <t>2032</t>
        </is>
      </c>
      <c r="B8" s="5" t="n">
        <v>6000000000</v>
      </c>
      <c r="C8" s="5" t="n">
        <v>4800000000</v>
      </c>
      <c r="D8" s="12" t="n">
        <v>0.18</v>
      </c>
      <c r="E8" s="10">
        <f>C8*D8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3" t="inlineStr">
        <is>
          <t>Kalem</t>
        </is>
      </c>
      <c r="B1" s="3" t="inlineStr">
        <is>
          <t>Tutar</t>
        </is>
      </c>
      <c r="C1" s="3" t="inlineStr">
        <is>
          <t>Pay %</t>
        </is>
      </c>
    </row>
    <row r="2">
      <c r="A2" t="inlineStr">
        <is>
          <t>Personel</t>
        </is>
      </c>
      <c r="B2" s="5" t="n">
        <v>24000000</v>
      </c>
      <c r="C2" s="13" t="n">
        <v>0.6</v>
      </c>
    </row>
    <row r="3">
      <c r="A3" t="inlineStr">
        <is>
          <t>OPEX</t>
        </is>
      </c>
      <c r="B3" s="5" t="n">
        <v>8000000</v>
      </c>
      <c r="C3" s="13" t="n">
        <v>0.2</v>
      </c>
    </row>
    <row r="4">
      <c r="A4" t="inlineStr">
        <is>
          <t>Pazarlama</t>
        </is>
      </c>
      <c r="B4" s="5" t="n">
        <v>5137000</v>
      </c>
      <c r="C4" s="13" t="n">
        <v>0.13</v>
      </c>
    </row>
    <row r="5">
      <c r="A5" t="inlineStr">
        <is>
          <t>CAPEX</t>
        </is>
      </c>
      <c r="B5" s="5" t="n">
        <v>2863000</v>
      </c>
      <c r="C5" s="13" t="n">
        <v>0.07000000000000001</v>
      </c>
    </row>
    <row r="6">
      <c r="A6" s="4" t="inlineStr">
        <is>
          <t>TOPLAM</t>
        </is>
      </c>
      <c r="B6" s="11">
        <f>SUM(B2:B5)</f>
        <v/>
      </c>
      <c r="C6" s="14">
        <f>SUM(C2:C5)</f>
        <v/>
      </c>
    </row>
    <row r="7"/>
    <row r="8">
      <c r="A8" s="15" t="inlineStr">
        <is>
          <t>CAPEX DETAYI</t>
        </is>
      </c>
    </row>
    <row r="9">
      <c r="A9" s="3" t="inlineStr">
        <is>
          <t>Kalem</t>
        </is>
      </c>
      <c r="B9" s="3" t="inlineStr">
        <is>
          <t>Tutar</t>
        </is>
      </c>
    </row>
    <row r="10">
      <c r="A10" t="inlineStr">
        <is>
          <t>Ofis Kurulum</t>
        </is>
      </c>
      <c r="B10" s="5" t="n">
        <v>1100000</v>
      </c>
    </row>
    <row r="11">
      <c r="A11" t="inlineStr">
        <is>
          <t>Mutfak</t>
        </is>
      </c>
      <c r="B11" s="5" t="n">
        <v>173000</v>
      </c>
    </row>
    <row r="12">
      <c r="A12" t="inlineStr">
        <is>
          <t>Bilgisayar</t>
        </is>
      </c>
      <c r="B12" s="5" t="n">
        <v>700000</v>
      </c>
    </row>
    <row r="13">
      <c r="A13" t="inlineStr">
        <is>
          <t>Marka</t>
        </is>
      </c>
      <c r="B13" s="5" t="n">
        <v>180000</v>
      </c>
    </row>
    <row r="14">
      <c r="A14" t="inlineStr">
        <is>
          <t>Hosgeldin Paketleri</t>
        </is>
      </c>
      <c r="B14" s="5" t="n">
        <v>107000</v>
      </c>
    </row>
    <row r="15">
      <c r="A15" t="inlineStr">
        <is>
          <t>Yazilim Lisanslari</t>
        </is>
      </c>
      <c r="B15" s="5" t="n">
        <v>38000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80" customWidth="1" min="4" max="4"/>
  </cols>
  <sheetData>
    <row r="1">
      <c r="A1" s="3" t="inlineStr">
        <is>
          <t>Yil</t>
        </is>
      </c>
      <c r="B1" s="3" t="inlineStr">
        <is>
          <t>Kadro</t>
        </is>
      </c>
      <c r="C1" s="3" t="inlineStr">
        <is>
          <t>Faz</t>
        </is>
      </c>
      <c r="D1" s="3" t="inlineStr">
        <is>
          <t>Roller</t>
        </is>
      </c>
    </row>
    <row r="2">
      <c r="A2" s="4" t="inlineStr">
        <is>
          <t>2026</t>
        </is>
      </c>
      <c r="B2" t="n">
        <v>19</v>
      </c>
      <c r="C2" t="inlineStr">
        <is>
          <t>LANSMAN</t>
        </is>
      </c>
      <c r="D2" t="inlineStr">
        <is>
          <t>CPO, Asistan, Grafik, PO, GIS, ISG, SM, Backend, Videographer, Helpdesk, Frontend, SEO, Content, Data Analyst, PPC, Creative, Moderator, QA</t>
        </is>
      </c>
    </row>
    <row r="3">
      <c r="A3" s="4" t="inlineStr">
        <is>
          <t>2027</t>
        </is>
      </c>
      <c r="B3" t="n">
        <v>63</v>
      </c>
      <c r="C3" t="inlineStr">
        <is>
          <t>BUYUME</t>
        </is>
      </c>
      <c r="D3" t="inlineStr">
        <is>
          <t>+Sr DevOps, Head of Eng, UX/UI, Growth Lead, Muhasebe, PM, Fraud, B2B, Mobile, QA Lead, Data/AI Lead, ML Eng, Test Auto, Scrum Master</t>
        </is>
      </c>
    </row>
    <row r="4">
      <c r="A4" s="4" t="inlineStr">
        <is>
          <t>2028</t>
        </is>
      </c>
      <c r="B4" t="n">
        <v>84</v>
      </c>
      <c r="C4" t="inlineStr">
        <is>
          <t>OLCEKLEME</t>
        </is>
      </c>
      <c r="D4" t="inlineStr">
        <is>
          <t>+Sr Backend, Sr Frontend, Data Scientist, Security Eng, Content/SEO Lead, Hukuk Danismani, IK Muduru, Ofis Yoneticisi</t>
        </is>
      </c>
    </row>
    <row r="5">
      <c r="A5" s="4" t="inlineStr">
        <is>
          <t>2029</t>
        </is>
      </c>
      <c r="B5" t="n">
        <v>101</v>
      </c>
      <c r="C5" t="inlineStr">
        <is>
          <t>OLGUNLASMA</t>
        </is>
      </c>
      <c r="D5" t="inlineStr">
        <is>
          <t>+Finans Muduru, KVKK, Agile Coach, RTE, Enterprise Sales, Sr. Data Eng, Trust &amp; Safety</t>
        </is>
      </c>
    </row>
    <row r="6">
      <c r="A6" s="4" t="inlineStr">
        <is>
          <t>2030</t>
        </is>
      </c>
      <c r="B6" t="n">
        <v>117</v>
      </c>
      <c r="C6" t="inlineStr">
        <is>
          <t>HAKIMIYET</t>
        </is>
      </c>
      <c r="D6" t="inlineStr">
        <is>
          <t>+System Architect, Platform Eng, Performance Mktg, Seller Support, PR Uzmani</t>
        </is>
      </c>
    </row>
    <row r="7">
      <c r="A7" s="4" t="inlineStr">
        <is>
          <t>2031</t>
        </is>
      </c>
      <c r="B7" t="n">
        <v>133</v>
      </c>
      <c r="C7" t="inlineStr">
        <is>
          <t>KONSOLIDASYON</t>
        </is>
      </c>
      <c r="D7" t="inlineStr">
        <is>
          <t>+AI/ML Engineer (2), Solution Architect, Sr. Product Designer, UX Researcher</t>
        </is>
      </c>
    </row>
    <row r="8">
      <c r="A8" s="4" t="inlineStr">
        <is>
          <t>2032</t>
        </is>
      </c>
      <c r="B8" t="n">
        <v>149</v>
      </c>
      <c r="C8" t="inlineStr">
        <is>
          <t>VIZYON</t>
        </is>
      </c>
      <c r="D8" t="inlineStr">
        <is>
          <t>+Staff Engineers, API Marketplace, Full SAFe (ART-1 + ART-2)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</cols>
  <sheetData>
    <row r="1">
      <c r="A1" s="15" t="inlineStr">
        <is>
          <t>CHURN ANALIZI</t>
        </is>
      </c>
    </row>
    <row r="2">
      <c r="A2" s="3" t="inlineStr">
        <is>
          <t>Platform</t>
        </is>
      </c>
      <c r="B2" s="3" t="inlineStr">
        <is>
          <t>Churn %</t>
        </is>
      </c>
      <c r="C2" s="3" t="inlineStr">
        <is>
          <t>Omur</t>
        </is>
      </c>
    </row>
    <row r="3">
      <c r="A3" t="inlineStr">
        <is>
          <t>sahibinden Bireysel</t>
        </is>
      </c>
      <c r="B3" s="13" t="n">
        <v>0.85</v>
      </c>
      <c r="C3" t="inlineStr">
        <is>
          <t>2-4 ay</t>
        </is>
      </c>
    </row>
    <row r="4">
      <c r="A4" t="inlineStr">
        <is>
          <t>sahibinden Kurumsal</t>
        </is>
      </c>
      <c r="B4" s="13" t="n">
        <v>0.4</v>
      </c>
      <c r="C4" t="inlineStr">
        <is>
          <t>12-36 ay</t>
        </is>
      </c>
    </row>
    <row r="5">
      <c r="A5" t="inlineStr">
        <is>
          <t>arsam.net Hedef</t>
        </is>
      </c>
      <c r="B5" s="13" t="n">
        <v>0.25</v>
      </c>
      <c r="C5" t="inlineStr">
        <is>
          <t>6-7x verimlilik</t>
        </is>
      </c>
    </row>
    <row r="6"/>
    <row r="7">
      <c r="A7" s="15" t="inlineStr">
        <is>
          <t>BENCHMARK</t>
        </is>
      </c>
    </row>
    <row r="8">
      <c r="A8" s="3" t="inlineStr">
        <is>
          <t>Sirket</t>
        </is>
      </c>
      <c r="B8" s="3" t="inlineStr">
        <is>
          <t>Calisan</t>
        </is>
      </c>
      <c r="C8" s="3" t="inlineStr">
        <is>
          <t>Yil</t>
        </is>
      </c>
    </row>
    <row r="9">
      <c r="A9" t="inlineStr">
        <is>
          <t>sahibinden</t>
        </is>
      </c>
      <c r="B9" s="10" t="n">
        <v>1000</v>
      </c>
      <c r="C9" t="inlineStr">
        <is>
          <t>2025</t>
        </is>
      </c>
    </row>
    <row r="10">
      <c r="A10" t="inlineStr">
        <is>
          <t>yemeksepeti</t>
        </is>
      </c>
      <c r="B10" s="10" t="n">
        <v>5500</v>
      </c>
      <c r="C10" t="inlineStr">
        <is>
          <t>2024</t>
        </is>
      </c>
    </row>
    <row r="11">
      <c r="A11" t="inlineStr">
        <is>
          <t>hepsiburada</t>
        </is>
      </c>
      <c r="B11" s="10" t="n">
        <v>1250</v>
      </c>
      <c r="C11" t="inlineStr">
        <is>
          <t>2024</t>
        </is>
      </c>
    </row>
    <row r="12">
      <c r="A12" t="inlineStr">
        <is>
          <t>trendyol</t>
        </is>
      </c>
      <c r="B12" s="10" t="n">
        <v>3900</v>
      </c>
      <c r="C12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2026-04-07T12:44:01Z</dcterms:created>
  <dcterms:modified xsi:type="dcterms:W3CDTF">2026-04-07T12:44:01Z</dcterms:modified>
</cp:coreProperties>
</file>